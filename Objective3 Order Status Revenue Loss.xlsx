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4" documentId="11_48A0AA9E57E07729DCB8A302933B467FC5018C37" xr6:coauthVersionLast="47" xr6:coauthVersionMax="47" xr10:uidLastSave="{71A3009D-DA1E-4238-ADBC-8E1BE93C2534}"/>
  <bookViews>
    <workbookView xWindow="0" yWindow="0" windowWidth="16384" windowHeight="8192" tabRatio="500" xr2:uid="{00000000-000D-0000-FFFF-FFFF00000000}"/>
  </bookViews>
  <sheets>
    <sheet name="Objective 3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3" i="1" l="1"/>
  <c r="A23" i="1"/>
  <c r="B22" i="1"/>
  <c r="A22" i="1"/>
  <c r="B21" i="1"/>
  <c r="A21" i="1"/>
  <c r="B20" i="1"/>
  <c r="C20" i="1" s="1"/>
  <c r="A20" i="1"/>
  <c r="C21" i="1" l="1"/>
  <c r="C22" i="1"/>
  <c r="C23" i="1"/>
</calcChain>
</file>

<file path=xl/sharedStrings.xml><?xml version="1.0" encoding="utf-8"?>
<sst xmlns="http://schemas.openxmlformats.org/spreadsheetml/2006/main" count="20" uniqueCount="14">
  <si>
    <t>Objective 3: Order Status &amp; Revenue Loss</t>
  </si>
  <si>
    <t xml:space="preserve"> Order Status</t>
  </si>
  <si>
    <t>Order Status</t>
  </si>
  <si>
    <t>Orders</t>
  </si>
  <si>
    <t>Revenue</t>
  </si>
  <si>
    <t>Profit</t>
  </si>
  <si>
    <t>Delivered</t>
  </si>
  <si>
    <t>Shipped</t>
  </si>
  <si>
    <t>Returned</t>
  </si>
  <si>
    <t>Cancelled</t>
  </si>
  <si>
    <t xml:space="preserve"> Revenue Loss</t>
  </si>
  <si>
    <t>Revenue Loss</t>
  </si>
  <si>
    <t>Order Status Share</t>
  </si>
  <si>
    <t>Order Share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</si>
</sst>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&gt;=10000000]\₹##\,##\,##\,##0;[&gt;=100000]\₹##\,##\,##0;\₹##,##0"/>
    <numFmt numFmtId="165" formatCode="0.0%"/>
  </numFmts>
  <fonts count="7">
    <font>
      <sz val="10"/>
      <name val="Arial"/>
      <charset val="1"/>
    </font>
    <font>
      <b/>
      <sz val="16"/>
      <color rgb="FFFFFFFF"/>
      <name val="Arial"/>
      <charset val="1"/>
    </font>
    <font>
      <sz val="9"/>
      <color rgb="FF5A6675"/>
      <name val="Arial"/>
      <charset val="1"/>
    </font>
    <font>
      <b/>
      <sz val="12"/>
      <color rgb="FF3B4A5C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2"/>
      <color rgb="FF8B1A1A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B2733"/>
        <bgColor rgb="FF003366"/>
      </patternFill>
    </fill>
    <fill>
      <patternFill patternType="solid">
        <fgColor rgb="FF3B4A5C"/>
        <bgColor rgb="FF1F3F7A"/>
      </patternFill>
    </fill>
    <fill>
      <patternFill patternType="solid">
        <fgColor rgb="FF8B1A1A"/>
        <bgColor rgb="FF8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0" fontId="3" fillId="0" borderId="0" xfId="0" applyFont="1"/>
    <xf numFmtId="0" fontId="4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0" fontId="5" fillId="0" borderId="0" xfId="0" applyFont="1"/>
    <xf numFmtId="3" fontId="5" fillId="0" borderId="0" xfId="0" applyNumberFormat="1" applyFont="1"/>
    <xf numFmtId="164" fontId="5" fillId="0" borderId="0" xfId="0" applyNumberFormat="1" applyFont="1"/>
    <xf numFmtId="0" fontId="6" fillId="0" borderId="0" xfId="0" applyFont="1"/>
    <xf numFmtId="0" fontId="4" fillId="4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center" vertical="center" wrapText="1"/>
    </xf>
    <xf numFmtId="165" fontId="5" fillId="0" borderId="0" xfId="0" applyNumberFormat="1" applyFo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5B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A6675"/>
      <rgbColor rgb="FF6B7A8D"/>
      <rgbColor rgb="FF003366"/>
      <rgbColor rgb="FF339966"/>
      <rgbColor rgb="FF003300"/>
      <rgbColor rgb="FF3B4A5C"/>
      <rgbColor rgb="FF8B1A1A"/>
      <rgbColor rgb="FF993366"/>
      <rgbColor rgb="FF1F3F7A"/>
      <rgbColor rgb="FF1B27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Orders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"Orders"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3B4A5C"/>
            </a:solidFill>
            <a:ln w="0">
              <a:solidFill>
                <a:srgbClr val="3B4A5C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'Objective 3'!$A$6:$A$9</c:f>
              <c:strCache>
                <c:ptCount val="4"/>
                <c:pt idx="0">
                  <c:v>Delivered</c:v>
                </c:pt>
                <c:pt idx="1">
                  <c:v>Shipped</c:v>
                </c:pt>
                <c:pt idx="2">
                  <c:v>Returned</c:v>
                </c:pt>
                <c:pt idx="3">
                  <c:v>Cancelled</c:v>
                </c:pt>
              </c:strCache>
            </c:strRef>
          </c:cat>
          <c:val>
            <c:numRef>
              <c:f>'Objective 3'!$B$6:$B$9</c:f>
              <c:numCache>
                <c:formatCode>#,##0</c:formatCode>
                <c:ptCount val="4"/>
                <c:pt idx="0">
                  <c:v>8147</c:v>
                </c:pt>
                <c:pt idx="1">
                  <c:v>868</c:v>
                </c:pt>
                <c:pt idx="2">
                  <c:v>485</c:v>
                </c:pt>
                <c:pt idx="3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A0-4529-9766-1B7AAD1A8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6550121"/>
        <c:axId val="36133734"/>
      </c:barChart>
      <c:catAx>
        <c:axId val="565501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133734"/>
        <c:crosses val="autoZero"/>
        <c:auto val="1"/>
        <c:lblAlgn val="ctr"/>
        <c:lblOffset val="100"/>
        <c:noMultiLvlLbl val="0"/>
      </c:catAx>
      <c:valAx>
        <c:axId val="36133734"/>
        <c:scaling>
          <c:orientation val="minMax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55012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F3F7A"/>
            </a:solidFill>
            <a:ln w="0">
              <a:solidFill>
                <a:srgbClr val="1F3F7A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'Objective 3'!$A$6:$A$9</c:f>
              <c:strCache>
                <c:ptCount val="4"/>
                <c:pt idx="0">
                  <c:v>Delivered</c:v>
                </c:pt>
                <c:pt idx="1">
                  <c:v>Shipped</c:v>
                </c:pt>
                <c:pt idx="2">
                  <c:v>Returned</c:v>
                </c:pt>
                <c:pt idx="3">
                  <c:v>Cancelled</c:v>
                </c:pt>
              </c:strCache>
            </c:strRef>
          </c:cat>
          <c:val>
            <c:numRef>
              <c:f>'Objective 3'!$C$6:$C$9</c:f>
              <c:numCache>
                <c:formatCode>[&gt;=10000000]\₹##\,##\,##\,##0;[&gt;=100000]\₹##\,##\,##0;\₹##,##0</c:formatCode>
                <c:ptCount val="4"/>
                <c:pt idx="0">
                  <c:v>125894209.84999999</c:v>
                </c:pt>
                <c:pt idx="1">
                  <c:v>14246941.4</c:v>
                </c:pt>
                <c:pt idx="2">
                  <c:v>7960583.4500000002</c:v>
                </c:pt>
                <c:pt idx="3">
                  <c:v>7688159.1900000004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7-41BA-8A1E-CF8D34114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9258374"/>
        <c:axId val="45381158"/>
      </c:barChart>
      <c:catAx>
        <c:axId val="192583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381158"/>
        <c:crosses val="autoZero"/>
        <c:auto val="1"/>
        <c:lblAlgn val="ctr"/>
        <c:lblOffset val="100"/>
        <c:noMultiLvlLbl val="0"/>
      </c:catAx>
      <c:valAx>
        <c:axId val="45381158"/>
        <c:scaling>
          <c:orientation val="minMax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₹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25837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Loss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"Revenue Loss"</c:f>
              <c:strCache>
                <c:ptCount val="1"/>
                <c:pt idx="0">
                  <c:v>Revenue Loss</c:v>
                </c:pt>
              </c:strCache>
            </c:strRef>
          </c:tx>
          <c:spPr>
            <a:solidFill>
              <a:srgbClr val="8B1A1A"/>
            </a:solidFill>
            <a:ln w="0">
              <a:solidFill>
                <a:srgbClr val="8B1A1A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'Objective 3'!$A$14:$A$15</c:f>
              <c:strCache>
                <c:ptCount val="2"/>
                <c:pt idx="0">
                  <c:v>Returned</c:v>
                </c:pt>
                <c:pt idx="1">
                  <c:v>Cancelled</c:v>
                </c:pt>
              </c:strCache>
            </c:strRef>
          </c:cat>
          <c:val>
            <c:numRef>
              <c:f>'Objective 3'!$C$14:$C$15</c:f>
              <c:numCache>
                <c:formatCode>[&gt;=10000000]\₹##\,##\,##\,##0;[&gt;=100000]\₹##\,##\,##0;\₹##,##0</c:formatCode>
                <c:ptCount val="2"/>
                <c:pt idx="0">
                  <c:v>7960583.4500000002</c:v>
                </c:pt>
                <c:pt idx="1">
                  <c:v>7688159.1900000004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DA-4165-9CE3-FD7CC29C8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056579"/>
        <c:axId val="40464612"/>
      </c:barChart>
      <c:catAx>
        <c:axId val="40565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464612"/>
        <c:crosses val="autoZero"/>
        <c:auto val="1"/>
        <c:lblAlgn val="ctr"/>
        <c:lblOffset val="100"/>
        <c:noMultiLvlLbl val="0"/>
      </c:catAx>
      <c:valAx>
        <c:axId val="40464612"/>
        <c:scaling>
          <c:orientation val="minMax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₹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5657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Order Status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"Orders"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3B4A5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46B5-4E57-ACA1-AFE7AF34F3CD}"/>
              </c:ext>
            </c:extLst>
          </c:dPt>
          <c:dPt>
            <c:idx val="1"/>
            <c:bubble3D val="0"/>
            <c:spPr>
              <a:solidFill>
                <a:srgbClr val="6B7A8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46B5-4E57-ACA1-AFE7AF34F3CD}"/>
              </c:ext>
            </c:extLst>
          </c:dPt>
          <c:dPt>
            <c:idx val="2"/>
            <c:bubble3D val="0"/>
            <c:spPr>
              <a:solidFill>
                <a:srgbClr val="9A5B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46B5-4E57-ACA1-AFE7AF34F3CD}"/>
              </c:ext>
            </c:extLst>
          </c:dPt>
          <c:dPt>
            <c:idx val="3"/>
            <c:bubble3D val="0"/>
            <c:spPr>
              <a:solidFill>
                <a:srgbClr val="8B1A1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46B5-4E57-ACA1-AFE7AF34F3CD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46B5-4E57-ACA1-AFE7AF34F3CD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46B5-4E57-ACA1-AFE7AF34F3CD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46B5-4E57-ACA1-AFE7AF34F3CD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46B5-4E57-ACA1-AFE7AF34F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'Objective 3'!$A$6:$A$9</c:f>
              <c:strCache>
                <c:ptCount val="4"/>
                <c:pt idx="0">
                  <c:v>Delivered</c:v>
                </c:pt>
                <c:pt idx="1">
                  <c:v>Shipped</c:v>
                </c:pt>
                <c:pt idx="2">
                  <c:v>Returned</c:v>
                </c:pt>
                <c:pt idx="3">
                  <c:v>Cancelled</c:v>
                </c:pt>
              </c:strCache>
            </c:strRef>
          </c:cat>
          <c:val>
            <c:numRef>
              <c:f>'Objective 3'!$B$6:$B$9</c:f>
              <c:numCache>
                <c:formatCode>#,##0</c:formatCode>
                <c:ptCount val="4"/>
                <c:pt idx="0">
                  <c:v>8147</c:v>
                </c:pt>
                <c:pt idx="1">
                  <c:v>868</c:v>
                </c:pt>
                <c:pt idx="2">
                  <c:v>485</c:v>
                </c:pt>
                <c:pt idx="3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B5-4E57-ACA1-AFE7AF34F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14</xdr:col>
      <xdr:colOff>507600</xdr:colOff>
      <xdr:row>15</xdr:row>
      <xdr:rowOff>185040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3</xdr:row>
      <xdr:rowOff>0</xdr:rowOff>
    </xdr:from>
    <xdr:to>
      <xdr:col>23</xdr:col>
      <xdr:colOff>507600</xdr:colOff>
      <xdr:row>15</xdr:row>
      <xdr:rowOff>185040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19</xdr:row>
      <xdr:rowOff>0</xdr:rowOff>
    </xdr:from>
    <xdr:to>
      <xdr:col>14</xdr:col>
      <xdr:colOff>507600</xdr:colOff>
      <xdr:row>33</xdr:row>
      <xdr:rowOff>32760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19</xdr:row>
      <xdr:rowOff>0</xdr:rowOff>
    </xdr:from>
    <xdr:to>
      <xdr:col>23</xdr:col>
      <xdr:colOff>507600</xdr:colOff>
      <xdr:row>33</xdr:row>
      <xdr:rowOff>32760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RevenueLoss" displayName="tblRevenueLoss" ref="A13:C15" totalsRowShown="0">
  <autoFilter ref="A13:C15" xr:uid="{00000000-0009-0000-0100-000001000000}"/>
  <tableColumns count="3">
    <tableColumn id="1" xr3:uid="{00000000-0010-0000-0000-000001000000}" name="Order Status"/>
    <tableColumn id="2" xr3:uid="{00000000-0010-0000-0000-000002000000}" name="Orders"/>
    <tableColumn id="3" xr3:uid="{00000000-0010-0000-0000-000003000000}" name="Revenue Los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Share" displayName="tblShare" ref="A19:C23" totalsRowShown="0">
  <autoFilter ref="A19:C23" xr:uid="{00000000-0009-0000-0100-000002000000}"/>
  <tableColumns count="3">
    <tableColumn id="1" xr3:uid="{00000000-0010-0000-0100-000001000000}" name="Order Status"/>
    <tableColumn id="2" xr3:uid="{00000000-0010-0000-0100-000002000000}" name="Orders"/>
    <tableColumn id="3" xr3:uid="{00000000-0010-0000-0100-000003000000}" name="Order Share %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Status" displayName="tblStatus" ref="A5:D9" totalsRowShown="0">
  <autoFilter ref="A5:D9" xr:uid="{00000000-0009-0000-0100-000003000000}"/>
  <tableColumns count="4">
    <tableColumn id="1" xr3:uid="{00000000-0010-0000-0200-000001000000}" name="Order Status"/>
    <tableColumn id="2" xr3:uid="{00000000-0010-0000-0200-000002000000}" name="Orders"/>
    <tableColumn id="3" xr3:uid="{00000000-0010-0000-0200-000003000000}" name="Revenue"/>
    <tableColumn id="4" xr3:uid="{00000000-0010-0000-0200-000004000000}" name="Profi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B1A1A"/>
  </sheetPr>
  <dimension ref="A1:F23"/>
  <sheetViews>
    <sheetView showGridLines="0" tabSelected="1" zoomScaleNormal="100" workbookViewId="0">
      <pane ySplit="3" topLeftCell="A4" activePane="bottomLeft" state="frozen"/>
      <selection pane="bottomLeft" activeCell="D16" sqref="D16"/>
    </sheetView>
  </sheetViews>
  <sheetFormatPr defaultColWidth="8.7109375" defaultRowHeight="15"/>
  <cols>
    <col min="1" max="1" width="30" customWidth="1"/>
    <col min="2" max="4" width="18" customWidth="1"/>
    <col min="5" max="5" width="3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>
      <c r="A2" s="12"/>
      <c r="B2" s="12"/>
      <c r="C2" s="12"/>
      <c r="D2" s="12"/>
      <c r="E2" s="12"/>
      <c r="F2" s="12"/>
    </row>
    <row r="4" spans="1:6">
      <c r="A4" s="2" t="s">
        <v>1</v>
      </c>
    </row>
    <row r="5" spans="1:6" ht="24" customHeight="1">
      <c r="A5" s="3" t="s">
        <v>2</v>
      </c>
      <c r="B5" s="4" t="s">
        <v>3</v>
      </c>
      <c r="C5" s="4" t="s">
        <v>4</v>
      </c>
      <c r="D5" s="4" t="s">
        <v>5</v>
      </c>
    </row>
    <row r="6" spans="1:6">
      <c r="A6" s="5" t="s">
        <v>6</v>
      </c>
      <c r="B6" s="6">
        <v>8147</v>
      </c>
      <c r="C6" s="7">
        <v>125894209.84999999</v>
      </c>
      <c r="D6" s="7">
        <v>29697472.879999999</v>
      </c>
    </row>
    <row r="7" spans="1:6">
      <c r="A7" s="5" t="s">
        <v>7</v>
      </c>
      <c r="B7" s="6">
        <v>868</v>
      </c>
      <c r="C7" s="7">
        <v>14246941.4</v>
      </c>
      <c r="D7" s="7">
        <v>3469535.61</v>
      </c>
    </row>
    <row r="8" spans="1:6">
      <c r="A8" s="5" t="s">
        <v>8</v>
      </c>
      <c r="B8" s="6">
        <v>485</v>
      </c>
      <c r="C8" s="7">
        <v>7960583.4500000002</v>
      </c>
      <c r="D8" s="7">
        <v>0</v>
      </c>
    </row>
    <row r="9" spans="1:6">
      <c r="A9" s="5" t="s">
        <v>9</v>
      </c>
      <c r="B9" s="6">
        <v>500</v>
      </c>
      <c r="C9" s="7">
        <v>7688159.1900000004</v>
      </c>
      <c r="D9" s="7">
        <v>0</v>
      </c>
    </row>
    <row r="12" spans="1:6">
      <c r="A12" s="8" t="s">
        <v>10</v>
      </c>
    </row>
    <row r="13" spans="1:6" ht="24" customHeight="1">
      <c r="A13" s="9" t="s">
        <v>2</v>
      </c>
      <c r="B13" s="10" t="s">
        <v>3</v>
      </c>
      <c r="C13" s="10" t="s">
        <v>11</v>
      </c>
    </row>
    <row r="14" spans="1:6">
      <c r="A14" s="5" t="s">
        <v>8</v>
      </c>
      <c r="B14" s="6">
        <v>485</v>
      </c>
      <c r="C14" s="7">
        <v>7960583.4500000002</v>
      </c>
    </row>
    <row r="15" spans="1:6">
      <c r="A15" s="5" t="s">
        <v>9</v>
      </c>
      <c r="B15" s="6">
        <v>500</v>
      </c>
      <c r="C15" s="7">
        <v>7688159.1900000004</v>
      </c>
    </row>
    <row r="18" spans="1:3">
      <c r="A18" s="2" t="s">
        <v>12</v>
      </c>
    </row>
    <row r="19" spans="1:3" ht="24" customHeight="1">
      <c r="A19" s="3" t="s">
        <v>2</v>
      </c>
      <c r="B19" s="4" t="s">
        <v>3</v>
      </c>
      <c r="C19" s="4" t="s">
        <v>13</v>
      </c>
    </row>
    <row r="20" spans="1:3">
      <c r="A20" s="5" t="str">
        <f>A6</f>
        <v>Delivered</v>
      </c>
      <c r="B20" s="6">
        <f>B6</f>
        <v>8147</v>
      </c>
      <c r="C20" s="11">
        <f>B20/SUM($B$20:$B$23)</f>
        <v>0.81469999999999998</v>
      </c>
    </row>
    <row r="21" spans="1:3">
      <c r="A21" s="5" t="str">
        <f>A7</f>
        <v>Shipped</v>
      </c>
      <c r="B21" s="6">
        <f>B7</f>
        <v>868</v>
      </c>
      <c r="C21" s="11">
        <f>B21/SUM($B$20:$B$23)</f>
        <v>8.6800000000000002E-2</v>
      </c>
    </row>
    <row r="22" spans="1:3">
      <c r="A22" s="5" t="str">
        <f>A8</f>
        <v>Returned</v>
      </c>
      <c r="B22" s="6">
        <f>B8</f>
        <v>485</v>
      </c>
      <c r="C22" s="11">
        <f>B22/SUM($B$20:$B$23)</f>
        <v>4.8500000000000001E-2</v>
      </c>
    </row>
    <row r="23" spans="1:3">
      <c r="A23" s="5" t="str">
        <f>A9</f>
        <v>Cancelled</v>
      </c>
      <c r="B23" s="6">
        <f>B9</f>
        <v>500</v>
      </c>
      <c r="C23" s="11">
        <f>B23/SUM($B$20:$B$23)</f>
        <v>0.05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Rakesh N</cp:lastModifiedBy>
  <cp:revision>1</cp:revision>
  <dcterms:created xsi:type="dcterms:W3CDTF">2026-10-06T07:32:27Z</dcterms:created>
  <dcterms:modified xsi:type="dcterms:W3CDTF">2026-10-06T08:07:31Z</dcterms:modified>
  <cp:category/>
  <cp:contentStatus/>
</cp:coreProperties>
</file>