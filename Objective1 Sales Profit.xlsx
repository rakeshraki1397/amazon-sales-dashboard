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12" documentId="11_758D9261C50D78A6FD75EAEBE74FC51F73591E50" xr6:coauthVersionLast="47" xr6:coauthVersionMax="47" xr10:uidLastSave="{7242A05C-8302-437D-822C-B401926FC7D2}"/>
  <bookViews>
    <workbookView xWindow="0" yWindow="0" windowWidth="16384" windowHeight="8192" tabRatio="500" xr2:uid="{00000000-000D-0000-FFFF-FFFF00000000}"/>
  </bookViews>
  <sheets>
    <sheet name="Objective 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" l="1"/>
  <c r="B5" i="1"/>
  <c r="A5" i="1"/>
  <c r="D5" i="1" s="1"/>
  <c r="E5" i="1" l="1"/>
</calcChain>
</file>

<file path=xl/sharedStrings.xml><?xml version="1.0" encoding="utf-8"?>
<sst xmlns="http://schemas.openxmlformats.org/spreadsheetml/2006/main" count="69" uniqueCount="63">
  <si>
    <t>Objective 1: Overall Sales &amp; Profit</t>
  </si>
  <si>
    <t>Total Sales</t>
  </si>
  <si>
    <t>Total Profit</t>
  </si>
  <si>
    <t>Total Orders</t>
  </si>
  <si>
    <t>Average Order Value</t>
  </si>
  <si>
    <t>Profit Margin</t>
  </si>
  <si>
    <t>Sales &amp; Profit by Category</t>
  </si>
  <si>
    <t>Category</t>
  </si>
  <si>
    <t>Sales</t>
  </si>
  <si>
    <t>Profit</t>
  </si>
  <si>
    <t>Units</t>
  </si>
  <si>
    <t>Orders</t>
  </si>
  <si>
    <t>Electronics &amp; Mobiles</t>
  </si>
  <si>
    <t>Home &amp; Kitchen</t>
  </si>
  <si>
    <t>Apparel &amp; Fashion</t>
  </si>
  <si>
    <t>Beauty &amp; Personal Care</t>
  </si>
  <si>
    <t>Pantry &amp; Groceries</t>
  </si>
  <si>
    <t>Top 10 Products (by Sales)</t>
  </si>
  <si>
    <t>Product</t>
  </si>
  <si>
    <t>Laptop Backpack</t>
  </si>
  <si>
    <t>Power Bank 20000mAh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</si>
  <si>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</si>
  <si>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</si>
  <si>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</si>
  <si>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</si>
  <si>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</si>
  <si>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</si>
  <si>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</si>
  <si>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</si>
  <si>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Monthly Sales &amp; Profit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</si>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</sst>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0]\₹##\,##\,##\,##0;[&gt;=100000]\₹##\,##\,##0;\₹##,##0"/>
    <numFmt numFmtId="165" formatCode="0.0%"/>
  </numFmts>
  <fonts count="12">
    <font>
      <sz val="10"/>
      <name val="Arial"/>
      <charset val="1"/>
    </font>
    <font>
      <b/>
      <sz val="16"/>
      <color rgb="FFFFFFFF"/>
      <name val="Arial"/>
      <charset val="1"/>
    </font>
    <font>
      <sz val="9"/>
      <color rgb="FF5A6675"/>
      <name val="Arial"/>
      <charset val="1"/>
    </font>
    <font>
      <b/>
      <sz val="10"/>
      <color rgb="FFFFFFFF"/>
      <name val="Arial"/>
      <charset val="1"/>
    </font>
    <font>
      <b/>
      <sz val="15"/>
      <color rgb="FF1F3F7A"/>
      <name val="Arial"/>
      <charset val="1"/>
    </font>
    <font>
      <b/>
      <sz val="15"/>
      <color rgb="FF1B6B3A"/>
      <name val="Arial"/>
      <charset val="1"/>
    </font>
    <font>
      <b/>
      <sz val="15"/>
      <color rgb="FF3B4A5C"/>
      <name val="Arial"/>
      <charset val="1"/>
    </font>
    <font>
      <b/>
      <sz val="15"/>
      <color rgb="FF1F5F63"/>
      <name val="Arial"/>
      <charset val="1"/>
    </font>
    <font>
      <b/>
      <sz val="12"/>
      <color rgb="FF1F3F7A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8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2733"/>
        <bgColor rgb="FF003366"/>
      </patternFill>
    </fill>
    <fill>
      <patternFill patternType="solid">
        <fgColor rgb="FF1F3F7A"/>
        <bgColor rgb="FF3B4A5C"/>
      </patternFill>
    </fill>
    <fill>
      <patternFill patternType="solid">
        <fgColor rgb="FF1B6B3A"/>
        <bgColor rgb="FF1F5F63"/>
      </patternFill>
    </fill>
    <fill>
      <patternFill patternType="solid">
        <fgColor rgb="FF3B4A5C"/>
        <bgColor rgb="FF1F3F7A"/>
      </patternFill>
    </fill>
    <fill>
      <patternFill patternType="solid">
        <fgColor rgb="FF1F5F63"/>
        <bgColor rgb="FF1B6B3A"/>
      </patternFill>
    </fill>
    <fill>
      <patternFill patternType="solid">
        <fgColor rgb="FFF1F4F8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F7A"/>
      </bottom>
      <diagonal/>
    </border>
    <border>
      <left/>
      <right/>
      <top/>
      <bottom style="medium">
        <color rgb="FF1B6B3A"/>
      </bottom>
      <diagonal/>
    </border>
    <border>
      <left/>
      <right/>
      <top/>
      <bottom style="medium">
        <color rgb="FF3B4A5C"/>
      </bottom>
      <diagonal/>
    </border>
    <border>
      <left/>
      <right/>
      <top/>
      <bottom style="medium">
        <color rgb="FF1F5F6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0" fillId="0" borderId="0" xfId="0" applyFont="1"/>
    <xf numFmtId="164" fontId="10" fillId="0" borderId="0" xfId="0" applyNumberFormat="1" applyFont="1"/>
    <xf numFmtId="3" fontId="10" fillId="0" borderId="0" xfId="0" applyNumberFormat="1" applyFont="1"/>
    <xf numFmtId="0" fontId="11" fillId="6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1F5F63"/>
      <rgbColor rgb="FFC0C0C0"/>
      <rgbColor rgb="FF878787"/>
      <rgbColor rgb="FF9999FF"/>
      <rgbColor rgb="FF993366"/>
      <rgbColor rgb="FFF1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5"/>
      <rgbColor rgb="FF969696"/>
      <rgbColor rgb="FF003366"/>
      <rgbColor rgb="FF339966"/>
      <rgbColor rgb="FF003300"/>
      <rgbColor rgb="FF3B4A5C"/>
      <rgbColor rgb="FF993300"/>
      <rgbColor rgb="FF993366"/>
      <rgbColor rgb="FF1F3F7A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Category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1'!$A$10:$A$14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1'!$B$10:$B$14</c:f>
              <c:numCache>
                <c:formatCode>[&gt;=10000000]\₹##\,##\,##\,##0;[&gt;=100000]\₹##\,##\,##0;\₹##,##0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B-46BD-8CA8-5E2CB2C4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074614"/>
        <c:axId val="74067067"/>
      </c:barChart>
      <c:catAx>
        <c:axId val="950746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67067"/>
        <c:crosses val="autoZero"/>
        <c:auto val="1"/>
        <c:lblAlgn val="ctr"/>
        <c:lblOffset val="100"/>
        <c:noMultiLvlLbl val="0"/>
      </c:catAx>
      <c:valAx>
        <c:axId val="7406706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746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Category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1'!$A$10:$A$14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1'!$C$10:$C$14</c:f>
              <c:numCache>
                <c:formatCode>[&gt;=10000000]\₹##\,##\,##\,##0;[&gt;=100000]\₹##\,##\,##0;\₹##,##0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C-4B9F-82C7-79C6C85BC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9848381"/>
        <c:axId val="48076033"/>
      </c:barChart>
      <c:catAx>
        <c:axId val="59848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76033"/>
        <c:crosses val="autoZero"/>
        <c:auto val="1"/>
        <c:lblAlgn val="ctr"/>
        <c:lblOffset val="100"/>
        <c:noMultiLvlLbl val="0"/>
      </c:catAx>
      <c:valAx>
        <c:axId val="48076033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48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ln w="28080">
              <a:solidFill>
                <a:srgbClr val="1F3F7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1'!$A$33:$A$64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'Objective 1'!$B$33:$B$64</c:f>
              <c:numCache>
                <c:formatCode>[&gt;=10000000]\₹##\,##\,##\,##0;[&gt;=100000]\₹##\,##\,##0;\₹##,##0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9-404E-A164-979DB0474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451467"/>
        <c:axId val="33619727"/>
      </c:lineChart>
      <c:catAx>
        <c:axId val="99451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19727"/>
        <c:crosses val="autoZero"/>
        <c:auto val="1"/>
        <c:lblAlgn val="ctr"/>
        <c:lblOffset val="100"/>
        <c:noMultiLvlLbl val="0"/>
      </c:catAx>
      <c:valAx>
        <c:axId val="3361972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514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ln w="28080">
              <a:solidFill>
                <a:srgbClr val="1B6B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1'!$A$33:$A$64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'Objective 1'!$C$33:$C$64</c:f>
              <c:numCache>
                <c:formatCode>[&gt;=10000000]\₹##\,##\,##\,##0;[&gt;=100000]\₹##\,##\,##0;\₹##,##0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5-47E1-99F4-9838A408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87278"/>
        <c:axId val="70514059"/>
      </c:lineChart>
      <c:catAx>
        <c:axId val="4287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14059"/>
        <c:crosses val="autoZero"/>
        <c:auto val="1"/>
        <c:lblAlgn val="ctr"/>
        <c:lblOffset val="100"/>
        <c:noMultiLvlLbl val="0"/>
      </c:catAx>
      <c:valAx>
        <c:axId val="7051405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72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1'!$A$19:$A$28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'Objective 1'!$B$19:$B$28</c:f>
              <c:numCache>
                <c:formatCode>[&gt;=10000000]\₹##\,##\,##\,##0;[&gt;=100000]\₹##\,##\,##0;\₹##,##0</c:formatCode>
                <c:ptCount val="10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F-4022-8189-F132D359F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7648629"/>
        <c:axId val="15548214"/>
      </c:barChart>
      <c:catAx>
        <c:axId val="5764862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48214"/>
        <c:crosses val="autoZero"/>
        <c:auto val="1"/>
        <c:lblAlgn val="ctr"/>
        <c:lblOffset val="100"/>
        <c:noMultiLvlLbl val="0"/>
      </c:catAx>
      <c:valAx>
        <c:axId val="15548214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4862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14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</xdr:row>
      <xdr:rowOff>0</xdr:rowOff>
    </xdr:from>
    <xdr:to>
      <xdr:col>25</xdr:col>
      <xdr:colOff>507600</xdr:colOff>
      <xdr:row>14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507600</xdr:colOff>
      <xdr:row>32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19</xdr:row>
      <xdr:rowOff>0</xdr:rowOff>
    </xdr:from>
    <xdr:to>
      <xdr:col>25</xdr:col>
      <xdr:colOff>507600</xdr:colOff>
      <xdr:row>32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18</xdr:col>
      <xdr:colOff>473040</xdr:colOff>
      <xdr:row>53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egory" displayName="tblCategory" ref="A9:E14" totalsRowShown="0">
  <autoFilter ref="A9:E14" xr:uid="{00000000-0009-0000-0100-000001000000}"/>
  <tableColumns count="5">
    <tableColumn id="1" xr3:uid="{00000000-0010-0000-0000-000001000000}" name="Category"/>
    <tableColumn id="2" xr3:uid="{00000000-0010-0000-0000-000002000000}" name="Sales"/>
    <tableColumn id="3" xr3:uid="{00000000-0010-0000-0000-000003000000}" name="Profit"/>
    <tableColumn id="4" xr3:uid="{00000000-0010-0000-0000-000004000000}" name="Units"/>
    <tableColumn id="5" xr3:uid="{00000000-0010-0000-0000-000005000000}" name="Ord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nthly" displayName="tblMonthly" ref="A32:C64" totalsRowShown="0">
  <autoFilter ref="A32:C64" xr:uid="{00000000-0009-0000-0100-000002000000}"/>
  <tableColumns count="3">
    <tableColumn id="1" xr3:uid="{00000000-0010-0000-0100-000001000000}" name="Month"/>
    <tableColumn id="2" xr3:uid="{00000000-0010-0000-0100-000002000000}" name="Sales"/>
    <tableColumn id="3" xr3:uid="{00000000-0010-0000-0100-000003000000}" name="Profi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opProducts" displayName="tblTopProducts" ref="A18:E28" totalsRowShown="0">
  <autoFilter ref="A18:E28" xr:uid="{00000000-0009-0000-0100-000003000000}"/>
  <tableColumns count="5">
    <tableColumn id="1" xr3:uid="{00000000-0010-0000-0200-000001000000}" name="Product"/>
    <tableColumn id="2" xr3:uid="{00000000-0010-0000-0200-000002000000}" name="Sales"/>
    <tableColumn id="3" xr3:uid="{00000000-0010-0000-0200-000003000000}" name="Profit"/>
    <tableColumn id="4" xr3:uid="{00000000-0010-0000-0200-000004000000}" name="Units"/>
    <tableColumn id="5" xr3:uid="{00000000-0010-0000-0200-000005000000}" name="Ord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F7A"/>
  </sheetPr>
  <dimension ref="A1:F65"/>
  <sheetViews>
    <sheetView showGridLines="0" tabSelected="1"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30" customWidth="1"/>
    <col min="2" max="3" width="18" customWidth="1"/>
    <col min="4" max="5" width="16" customWidth="1"/>
    <col min="6" max="6" width="18" customWidth="1"/>
    <col min="7" max="7" width="3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12.75">
      <c r="A2" s="17"/>
      <c r="B2" s="17"/>
      <c r="C2" s="17"/>
      <c r="D2" s="17"/>
      <c r="E2" s="17"/>
      <c r="F2" s="17"/>
    </row>
    <row r="4" spans="1:6" ht="21.75" customHeight="1">
      <c r="A4" s="2" t="s">
        <v>1</v>
      </c>
      <c r="B4" s="3" t="s">
        <v>2</v>
      </c>
      <c r="C4" s="4" t="s">
        <v>3</v>
      </c>
      <c r="D4" s="16" t="s">
        <v>4</v>
      </c>
      <c r="E4" s="3" t="s">
        <v>5</v>
      </c>
    </row>
    <row r="5" spans="1:6" ht="33.75" customHeight="1">
      <c r="A5" s="5">
        <f>SUM(B10:B14)</f>
        <v>155789893.89000002</v>
      </c>
      <c r="B5" s="6">
        <f>SUM(C10:C14)</f>
        <v>33167008.489999998</v>
      </c>
      <c r="C5" s="7">
        <f>SUM(E10:E14)</f>
        <v>10000</v>
      </c>
      <c r="D5" s="8">
        <f>A5/C5</f>
        <v>15578.989389000002</v>
      </c>
      <c r="E5" s="9">
        <f>B5/A5</f>
        <v>0.21289576404370961</v>
      </c>
    </row>
    <row r="8" spans="1:6">
      <c r="A8" s="10" t="s">
        <v>6</v>
      </c>
    </row>
    <row r="9" spans="1:6" ht="24" customHeight="1">
      <c r="A9" s="11" t="s">
        <v>7</v>
      </c>
      <c r="B9" s="12" t="s">
        <v>8</v>
      </c>
      <c r="C9" s="12" t="s">
        <v>9</v>
      </c>
      <c r="D9" s="12" t="s">
        <v>10</v>
      </c>
      <c r="E9" s="12" t="s">
        <v>11</v>
      </c>
    </row>
    <row r="10" spans="1:6">
      <c r="A10" s="13" t="s">
        <v>12</v>
      </c>
      <c r="B10" s="14">
        <v>123569507.06999999</v>
      </c>
      <c r="C10" s="14">
        <v>26310257.239999998</v>
      </c>
      <c r="D10" s="15">
        <v>7579</v>
      </c>
      <c r="E10" s="15">
        <v>3045</v>
      </c>
    </row>
    <row r="11" spans="1:6">
      <c r="A11" s="13" t="s">
        <v>13</v>
      </c>
      <c r="B11" s="14">
        <v>17973218.93</v>
      </c>
      <c r="C11" s="14">
        <v>3837268.36</v>
      </c>
      <c r="D11" s="15">
        <v>4684</v>
      </c>
      <c r="E11" s="15">
        <v>1888</v>
      </c>
    </row>
    <row r="12" spans="1:6">
      <c r="A12" s="13" t="s">
        <v>14</v>
      </c>
      <c r="B12" s="14">
        <v>9831025.0899999999</v>
      </c>
      <c r="C12" s="14">
        <v>2085354</v>
      </c>
      <c r="D12" s="15">
        <v>6452</v>
      </c>
      <c r="E12" s="15">
        <v>2580</v>
      </c>
    </row>
    <row r="13" spans="1:6">
      <c r="A13" s="13" t="s">
        <v>15</v>
      </c>
      <c r="B13" s="14">
        <v>2889178.5</v>
      </c>
      <c r="C13" s="14">
        <v>604390.41</v>
      </c>
      <c r="D13" s="15">
        <v>3734</v>
      </c>
      <c r="E13" s="15">
        <v>1499</v>
      </c>
    </row>
    <row r="14" spans="1:6">
      <c r="A14" s="13" t="s">
        <v>16</v>
      </c>
      <c r="B14" s="14">
        <v>1526964.3</v>
      </c>
      <c r="C14" s="14">
        <v>329738.48</v>
      </c>
      <c r="D14" s="15">
        <v>2477</v>
      </c>
      <c r="E14" s="15">
        <v>988</v>
      </c>
    </row>
    <row r="17" spans="1:5">
      <c r="A17" s="10" t="s">
        <v>17</v>
      </c>
    </row>
    <row r="18" spans="1:5" ht="24" customHeight="1">
      <c r="A18" s="11" t="s">
        <v>18</v>
      </c>
      <c r="B18" s="12" t="s">
        <v>8</v>
      </c>
      <c r="C18" s="12" t="s">
        <v>9</v>
      </c>
      <c r="D18" s="12" t="s">
        <v>10</v>
      </c>
      <c r="E18" s="12" t="s">
        <v>11</v>
      </c>
    </row>
    <row r="19" spans="1:5">
      <c r="A19" s="13" t="s">
        <v>19</v>
      </c>
      <c r="B19" s="14">
        <v>26529187.41</v>
      </c>
      <c r="C19" s="14">
        <v>5628644.0300000003</v>
      </c>
      <c r="D19" s="15">
        <v>1641</v>
      </c>
      <c r="E19" s="15">
        <v>652</v>
      </c>
    </row>
    <row r="20" spans="1:5">
      <c r="A20" s="13" t="s">
        <v>20</v>
      </c>
      <c r="B20" s="14">
        <v>25548449.07</v>
      </c>
      <c r="C20" s="14">
        <v>5496680.5099999998</v>
      </c>
      <c r="D20" s="15">
        <v>1573</v>
      </c>
      <c r="E20" s="15">
        <v>634</v>
      </c>
    </row>
    <row r="21" spans="1:5">
      <c r="A21" s="13" t="s">
        <v>21</v>
      </c>
      <c r="B21" s="14">
        <v>24330766.23</v>
      </c>
      <c r="C21" s="14">
        <v>5109132.92</v>
      </c>
      <c r="D21" s="15">
        <v>1478</v>
      </c>
      <c r="E21" s="15">
        <v>596</v>
      </c>
    </row>
    <row r="22" spans="1:5">
      <c r="A22" s="13" t="s">
        <v>22</v>
      </c>
      <c r="B22" s="14">
        <v>23848640.890000001</v>
      </c>
      <c r="C22" s="14">
        <v>5204191.9000000004</v>
      </c>
      <c r="D22" s="15">
        <v>1475</v>
      </c>
      <c r="E22" s="15">
        <v>603</v>
      </c>
    </row>
    <row r="23" spans="1:5">
      <c r="A23" s="13" t="s">
        <v>23</v>
      </c>
      <c r="B23" s="14">
        <v>23312463.469999999</v>
      </c>
      <c r="C23" s="14">
        <v>4871607.88</v>
      </c>
      <c r="D23" s="15">
        <v>1412</v>
      </c>
      <c r="E23" s="15">
        <v>560</v>
      </c>
    </row>
    <row r="24" spans="1:5">
      <c r="A24" s="13" t="s">
        <v>24</v>
      </c>
      <c r="B24" s="14">
        <v>3865114.25</v>
      </c>
      <c r="C24" s="14">
        <v>819333.8</v>
      </c>
      <c r="D24" s="15">
        <v>953</v>
      </c>
      <c r="E24" s="15">
        <v>390</v>
      </c>
    </row>
    <row r="25" spans="1:5">
      <c r="A25" s="13" t="s">
        <v>25</v>
      </c>
      <c r="B25" s="14">
        <v>3789133.82</v>
      </c>
      <c r="C25" s="14">
        <v>843105.06</v>
      </c>
      <c r="D25" s="15">
        <v>998</v>
      </c>
      <c r="E25" s="15">
        <v>401</v>
      </c>
    </row>
    <row r="26" spans="1:5">
      <c r="A26" s="13" t="s">
        <v>26</v>
      </c>
      <c r="B26" s="14">
        <v>3785924.8</v>
      </c>
      <c r="C26" s="14">
        <v>794225.82</v>
      </c>
      <c r="D26" s="15">
        <v>992</v>
      </c>
      <c r="E26" s="15">
        <v>400</v>
      </c>
    </row>
    <row r="27" spans="1:5">
      <c r="A27" s="13" t="s">
        <v>27</v>
      </c>
      <c r="B27" s="14">
        <v>3510999.56</v>
      </c>
      <c r="C27" s="14">
        <v>761204.61</v>
      </c>
      <c r="D27" s="15">
        <v>907</v>
      </c>
      <c r="E27" s="15">
        <v>361</v>
      </c>
    </row>
    <row r="28" spans="1:5">
      <c r="A28" s="13" t="s">
        <v>28</v>
      </c>
      <c r="B28" s="14">
        <v>3022046.5</v>
      </c>
      <c r="C28" s="14">
        <v>619399.06999999995</v>
      </c>
      <c r="D28" s="15">
        <v>834</v>
      </c>
      <c r="E28" s="15">
        <v>336</v>
      </c>
    </row>
    <row r="31" spans="1:5">
      <c r="A31" s="10" t="s">
        <v>29</v>
      </c>
    </row>
    <row r="32" spans="1:5" ht="24" customHeight="1">
      <c r="A32" s="11" t="s">
        <v>30</v>
      </c>
      <c r="B32" s="12" t="s">
        <v>8</v>
      </c>
      <c r="C32" s="12" t="s">
        <v>9</v>
      </c>
    </row>
    <row r="33" spans="1:3">
      <c r="A33" s="13" t="s">
        <v>31</v>
      </c>
      <c r="B33" s="14">
        <v>4441265.57</v>
      </c>
      <c r="C33" s="14">
        <v>1016530.29</v>
      </c>
    </row>
    <row r="34" spans="1:3">
      <c r="A34" s="13" t="s">
        <v>32</v>
      </c>
      <c r="B34" s="14">
        <v>4071073.66</v>
      </c>
      <c r="C34" s="14">
        <v>778165.74</v>
      </c>
    </row>
    <row r="35" spans="1:3">
      <c r="A35" s="13" t="s">
        <v>33</v>
      </c>
      <c r="B35" s="14">
        <v>5761054.8399999999</v>
      </c>
      <c r="C35" s="14">
        <v>1243584.05</v>
      </c>
    </row>
    <row r="36" spans="1:3">
      <c r="A36" s="13" t="s">
        <v>34</v>
      </c>
      <c r="B36" s="14">
        <v>4612546.4800000004</v>
      </c>
      <c r="C36" s="14">
        <v>1041978.73</v>
      </c>
    </row>
    <row r="37" spans="1:3">
      <c r="A37" s="13" t="s">
        <v>35</v>
      </c>
      <c r="B37" s="14">
        <v>4660178.05</v>
      </c>
      <c r="C37" s="14">
        <v>1020331.21</v>
      </c>
    </row>
    <row r="38" spans="1:3">
      <c r="A38" s="13" t="s">
        <v>36</v>
      </c>
      <c r="B38" s="14">
        <v>4810938.17</v>
      </c>
      <c r="C38" s="14">
        <v>937123.34</v>
      </c>
    </row>
    <row r="39" spans="1:3">
      <c r="A39" s="13" t="s">
        <v>37</v>
      </c>
      <c r="B39" s="14">
        <v>5744760.1299999999</v>
      </c>
      <c r="C39" s="14">
        <v>1256434.8899999999</v>
      </c>
    </row>
    <row r="40" spans="1:3">
      <c r="A40" s="13" t="s">
        <v>38</v>
      </c>
      <c r="B40" s="14">
        <v>4760372.3499999996</v>
      </c>
      <c r="C40" s="14">
        <v>976600.73</v>
      </c>
    </row>
    <row r="41" spans="1:3">
      <c r="A41" s="13" t="s">
        <v>39</v>
      </c>
      <c r="B41" s="14">
        <v>4033814.56</v>
      </c>
      <c r="C41" s="14">
        <v>914060.89</v>
      </c>
    </row>
    <row r="42" spans="1:3">
      <c r="A42" s="13" t="s">
        <v>40</v>
      </c>
      <c r="B42" s="14">
        <v>4820971.84</v>
      </c>
      <c r="C42" s="14">
        <v>1033414.57</v>
      </c>
    </row>
    <row r="43" spans="1:3">
      <c r="A43" s="13" t="s">
        <v>41</v>
      </c>
      <c r="B43" s="14">
        <v>4483427.16</v>
      </c>
      <c r="C43" s="14">
        <v>867487.8</v>
      </c>
    </row>
    <row r="44" spans="1:3">
      <c r="A44" s="13" t="s">
        <v>42</v>
      </c>
      <c r="B44" s="14">
        <v>4812417.32</v>
      </c>
      <c r="C44" s="14">
        <v>1045396.92</v>
      </c>
    </row>
    <row r="45" spans="1:3">
      <c r="A45" s="13" t="s">
        <v>43</v>
      </c>
      <c r="B45" s="14">
        <v>4606206.7300000004</v>
      </c>
      <c r="C45" s="14">
        <v>945448.74</v>
      </c>
    </row>
    <row r="46" spans="1:3">
      <c r="A46" s="13" t="s">
        <v>44</v>
      </c>
      <c r="B46" s="14">
        <v>4311299.8099999996</v>
      </c>
      <c r="C46" s="14">
        <v>849842.38</v>
      </c>
    </row>
    <row r="47" spans="1:3">
      <c r="A47" s="13" t="s">
        <v>45</v>
      </c>
      <c r="B47" s="14">
        <v>5197449.6900000004</v>
      </c>
      <c r="C47" s="14">
        <v>1109671.45</v>
      </c>
    </row>
    <row r="48" spans="1:3">
      <c r="A48" s="13" t="s">
        <v>46</v>
      </c>
      <c r="B48" s="14">
        <v>3889801.47</v>
      </c>
      <c r="C48" s="14">
        <v>866003.41</v>
      </c>
    </row>
    <row r="49" spans="1:3">
      <c r="A49" s="13" t="s">
        <v>47</v>
      </c>
      <c r="B49" s="14">
        <v>5390320.6600000001</v>
      </c>
      <c r="C49" s="14">
        <v>1108438.96</v>
      </c>
    </row>
    <row r="50" spans="1:3">
      <c r="A50" s="13" t="s">
        <v>48</v>
      </c>
      <c r="B50" s="14">
        <v>4691064.3899999997</v>
      </c>
      <c r="C50" s="14">
        <v>1037380.01</v>
      </c>
    </row>
    <row r="51" spans="1:3">
      <c r="A51" s="13" t="s">
        <v>49</v>
      </c>
      <c r="B51" s="14">
        <v>5548031.9199999999</v>
      </c>
      <c r="C51" s="14">
        <v>1147269.68</v>
      </c>
    </row>
    <row r="52" spans="1:3">
      <c r="A52" s="13" t="s">
        <v>50</v>
      </c>
      <c r="B52" s="14">
        <v>4825647.41</v>
      </c>
      <c r="C52" s="14">
        <v>995098.14</v>
      </c>
    </row>
    <row r="53" spans="1:3">
      <c r="A53" s="13" t="s">
        <v>51</v>
      </c>
      <c r="B53" s="14">
        <v>4645851.2300000004</v>
      </c>
      <c r="C53" s="14">
        <v>978708.78</v>
      </c>
    </row>
    <row r="54" spans="1:3">
      <c r="A54" s="13" t="s">
        <v>52</v>
      </c>
      <c r="B54" s="14">
        <v>4786859.1100000003</v>
      </c>
      <c r="C54" s="14">
        <v>983414.48</v>
      </c>
    </row>
    <row r="55" spans="1:3">
      <c r="A55" s="13" t="s">
        <v>53</v>
      </c>
      <c r="B55" s="14">
        <v>5110161.4400000004</v>
      </c>
      <c r="C55" s="14">
        <v>1197245.96</v>
      </c>
    </row>
    <row r="56" spans="1:3">
      <c r="A56" s="13" t="s">
        <v>54</v>
      </c>
      <c r="B56" s="14">
        <v>4424179.17</v>
      </c>
      <c r="C56" s="14">
        <v>983901.42</v>
      </c>
    </row>
    <row r="57" spans="1:3">
      <c r="A57" s="13" t="s">
        <v>55</v>
      </c>
      <c r="B57" s="14">
        <v>4907181.04</v>
      </c>
      <c r="C57" s="14">
        <v>1068832.8700000001</v>
      </c>
    </row>
    <row r="58" spans="1:3">
      <c r="A58" s="13" t="s">
        <v>56</v>
      </c>
      <c r="B58" s="14">
        <v>4324986.58</v>
      </c>
      <c r="C58" s="14">
        <v>906184.52</v>
      </c>
    </row>
    <row r="59" spans="1:3">
      <c r="A59" s="13" t="s">
        <v>57</v>
      </c>
      <c r="B59" s="14">
        <v>4854721.92</v>
      </c>
      <c r="C59" s="14">
        <v>1074182.43</v>
      </c>
    </row>
    <row r="60" spans="1:3">
      <c r="A60" s="13" t="s">
        <v>58</v>
      </c>
      <c r="B60" s="14">
        <v>5193546.45</v>
      </c>
      <c r="C60" s="14">
        <v>1089945.17</v>
      </c>
    </row>
    <row r="61" spans="1:3">
      <c r="A61" s="13" t="s">
        <v>59</v>
      </c>
      <c r="B61" s="14">
        <v>4795167.1100000003</v>
      </c>
      <c r="C61" s="14">
        <v>1057988.22</v>
      </c>
    </row>
    <row r="62" spans="1:3">
      <c r="A62" s="13" t="s">
        <v>60</v>
      </c>
      <c r="B62" s="14">
        <v>5767141.0300000003</v>
      </c>
      <c r="C62" s="14">
        <v>1222177.0900000001</v>
      </c>
    </row>
    <row r="63" spans="1:3">
      <c r="A63" s="13" t="s">
        <v>61</v>
      </c>
      <c r="B63" s="14">
        <v>6443679</v>
      </c>
      <c r="C63" s="14">
        <v>1329442.03</v>
      </c>
    </row>
    <row r="64" spans="1:3">
      <c r="A64" s="13" t="s">
        <v>62</v>
      </c>
      <c r="B64" s="14">
        <v>5063777.5999999996</v>
      </c>
      <c r="C64" s="14">
        <v>1084723.5900000001</v>
      </c>
    </row>
    <row r="65" ht="12.75"/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Rakesh N</cp:lastModifiedBy>
  <cp:revision>1</cp:revision>
  <dcterms:created xsi:type="dcterms:W3CDTF">2026-10-06T07:32:27Z</dcterms:created>
  <dcterms:modified xsi:type="dcterms:W3CDTF">2026-10-06T07:50:03Z</dcterms:modified>
  <cp:category/>
  <cp:contentStatus/>
</cp:coreProperties>
</file>